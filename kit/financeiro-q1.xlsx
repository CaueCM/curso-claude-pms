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 Executivo" sheetId="1" state="visible" r:id="rId3"/>
    <sheet name="DRE Q1" sheetId="2" state="visible" r:id="rId4"/>
    <sheet name="Unit Economics" sheetId="3" state="visible" r:id="rId5"/>
    <sheet name="Cash &amp; Runway" sheetId="4" state="visible" r:id="rId6"/>
    <sheet name="Glossár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<sst xmlns="http://schemas.openxmlformats.org/spreadsheetml/2006/main" count="182" uniqueCount="165">
  <si>
    <t xml:space="preserve">ArenaCash — Resumo Financeiro Q1 2026</t>
  </si>
  <si>
    <t xml:space="preserve">Consolidado trimestral | Valores em R$ | Atualizado: 30/mar/2026</t>
  </si>
  <si>
    <t xml:space="preserve">KPI</t>
  </si>
  <si>
    <t xml:space="preserve">Q4 2025</t>
  </si>
  <si>
    <t xml:space="preserve">Q1 2026</t>
  </si>
  <si>
    <t xml:space="preserve">Δ</t>
  </si>
  <si>
    <t xml:space="preserve">Meta Q2 2026</t>
  </si>
  <si>
    <t xml:space="preserve">Fonte / Nota</t>
  </si>
  <si>
    <t xml:space="preserve">ARR (R$ mm)</t>
  </si>
  <si>
    <t xml:space="preserve">Receita anualizada do mês de saída</t>
  </si>
  <si>
    <t xml:space="preserve">MRR (R$ mm)</t>
  </si>
  <si>
    <t xml:space="preserve">Mês de saída do quarter</t>
  </si>
  <si>
    <t xml:space="preserve">Pagantes ativos (mil)</t>
  </si>
  <si>
    <t xml:space="preserve">Inclui Free com saldo + Pro. Fim do mês de saída.</t>
  </si>
  <si>
    <t xml:space="preserve">Assinantes Pro (mil)</t>
  </si>
  <si>
    <t xml:space="preserve">Apenas assinatura Pro R$29/mês</t>
  </si>
  <si>
    <t xml:space="preserve">CAC médio (R$)</t>
  </si>
  <si>
    <t xml:space="preserve">Blended. Gasto marketing / ativados no período</t>
  </si>
  <si>
    <t xml:space="preserve">LTV médio (R$)</t>
  </si>
  <si>
    <t xml:space="preserve">ARPU × margem bruta ÷ churn mensal (blended Free+Pro)</t>
  </si>
  <si>
    <t xml:space="preserve">LTV/CAC</t>
  </si>
  <si>
    <t xml:space="preserve">Saudável &gt;= 3x</t>
  </si>
  <si>
    <t xml:space="preserve">Churn mensal (%)</t>
  </si>
  <si>
    <t xml:space="preserve">Weighted Free + Pro</t>
  </si>
  <si>
    <t xml:space="preserve">Burn mensal (R$ mm)</t>
  </si>
  <si>
    <t xml:space="preserve">Cash out - cash in</t>
  </si>
  <si>
    <t xml:space="preserve">Cash em caixa fim do período (R$ mm)</t>
  </si>
  <si>
    <t xml:space="preserve">Saldo após burn do quarter</t>
  </si>
  <si>
    <t xml:space="preserve">Runway (meses)</t>
  </si>
  <si>
    <t xml:space="preserve">Saldo / burn mensal</t>
  </si>
  <si>
    <t xml:space="preserve">Diagnóstico do CFO (Juliana Castro)</t>
  </si>
  <si>
    <t xml:space="preserve">•  LTV/CAC caiu de 6x (Q4/25) para 2,1x (Q1/26). Continuamos saudáveis, mas o sinal é claro: custamos mais para trazer clientes que rendem menos.</t>
  </si>
  <si>
    <t xml:space="preserve">•  LTV/CAC caiu de 4,1x (Q4/25) para 1,6x (Q1/26). Zona de queima: estamos pagando mais pra trazer clientes que rendem menos da metade do que rendiam.</t>
  </si>
  <si>
    <t xml:space="preserve">•  O MRR cresceu 7,6% QoQ graças aos assinantes Pro novos, mas não compensa a deterioração do LTV blended. Cada novo cliente de Q1 vale R$ 200 a menos que um de Q4.</t>
  </si>
  <si>
    <t xml:space="preserve">•  Meta Q2: reverter tendência de LTV (voltar para R$ 550+) e manter CAC ≤ R$ 160. Se não conseguirmos, congelamos contratações do H2.</t>
  </si>
  <si>
    <t xml:space="preserve">•  Atenção: a receita de float (caixa aplicado) representa ~24% da receita total. Quando a gente consumir o caixa, essa linha encolhe — o modelo precisa sustentar sem ela.</t>
  </si>
  <si>
    <t xml:space="preserve">Demonstração de Resultados — Q1 2026</t>
  </si>
  <si>
    <t xml:space="preserve">Valores em R$ mil | Regime de caixa</t>
  </si>
  <si>
    <t xml:space="preserve">Linha</t>
  </si>
  <si>
    <t xml:space="preserve">Jan/26</t>
  </si>
  <si>
    <t xml:space="preserve">Fev/26</t>
  </si>
  <si>
    <t xml:space="preserve">Mar/26</t>
  </si>
  <si>
    <t xml:space="preserve">Total Q1</t>
  </si>
  <si>
    <t xml:space="preserve">% Receita</t>
  </si>
  <si>
    <t xml:space="preserve">RECEITA</t>
  </si>
  <si>
    <t xml:space="preserve">  Assinatura Pro (R$29/mês × pagantes)</t>
  </si>
  <si>
    <t xml:space="preserve">  Take rate / corretagem (renda fixa + variável + cripto)</t>
  </si>
  <si>
    <t xml:space="preserve">  Receita de float (caixa próprio aplicado)</t>
  </si>
  <si>
    <t xml:space="preserve">  Outras receitas (parcerias, empréstimo de ações)</t>
  </si>
  <si>
    <t xml:space="preserve">Receita total</t>
  </si>
  <si>
    <t xml:space="preserve">CUSTOS OPERACIONAIS</t>
  </si>
  <si>
    <t xml:space="preserve">  Pessoal (salários + encargos + benefícios)</t>
  </si>
  <si>
    <t xml:space="preserve">  Marketing &amp; Aquisição</t>
  </si>
  <si>
    <t xml:space="preserve">  Tecnologia (cloud, ferramentas, dados)</t>
  </si>
  <si>
    <t xml:space="preserve">  CMV (custódia B3, spreads, liquidação cripto)</t>
  </si>
  <si>
    <t xml:space="preserve">  Administrativo / Jurídico / Compliance</t>
  </si>
  <si>
    <t xml:space="preserve">Custos totais</t>
  </si>
  <si>
    <t xml:space="preserve">RESULTADO</t>
  </si>
  <si>
    <t xml:space="preserve">EBITDA (Receita − Custos)</t>
  </si>
  <si>
    <t xml:space="preserve">Margem EBITDA</t>
  </si>
  <si>
    <t xml:space="preserve">CAIXA</t>
  </si>
  <si>
    <t xml:space="preserve">Saldo inicial do mês (R$ mm)</t>
  </si>
  <si>
    <t xml:space="preserve">Variação mensal de caixa (R$ mm)</t>
  </si>
  <si>
    <t xml:space="preserve">Saldo final do mês (R$ mm)</t>
  </si>
  <si>
    <t xml:space="preserve">Unit Economics — Q1 2026</t>
  </si>
  <si>
    <t xml:space="preserve">Desagregado por plano e por canal de aquisição | Atualizado: 30/mar/2026</t>
  </si>
  <si>
    <t xml:space="preserve">Por plano</t>
  </si>
  <si>
    <t xml:space="preserve">Plano</t>
  </si>
  <si>
    <t xml:space="preserve">ARPU mensal (R$)</t>
  </si>
  <si>
    <t xml:space="preserve">Margem bruta (%)</t>
  </si>
  <si>
    <t xml:space="preserve">Contribuição/mês (R$)</t>
  </si>
  <si>
    <t xml:space="preserve">LTV (R$)</t>
  </si>
  <si>
    <t xml:space="preserve">CAC (R$)</t>
  </si>
  <si>
    <t xml:space="preserve">Free</t>
  </si>
  <si>
    <t xml:space="preserve">Pro</t>
  </si>
  <si>
    <t xml:space="preserve">Blended Q1 2026</t>
  </si>
  <si>
    <t xml:space="preserve">Blended Q4 2025</t>
  </si>
  <si>
    <t xml:space="preserve">Por canal de aquisição (Q1 2026)</t>
  </si>
  <si>
    <t xml:space="preserve">Canal</t>
  </si>
  <si>
    <t xml:space="preserve">Gasto Q1 (R$ mil)</t>
  </si>
  <si>
    <t xml:space="preserve">Signups Q1</t>
  </si>
  <si>
    <t xml:space="preserve">Ativados Q1</t>
  </si>
  <si>
    <t xml:space="preserve">Ativação (%)</t>
  </si>
  <si>
    <t xml:space="preserve">CAC/ativado (R$)</t>
  </si>
  <si>
    <t xml:space="preserve">% Mix signups</t>
  </si>
  <si>
    <t xml:space="preserve">Qualidade</t>
  </si>
  <si>
    <t xml:space="preserve">Meta Ads (Instagram + Facebook)</t>
  </si>
  <si>
    <t xml:space="preserve">Média</t>
  </si>
  <si>
    <t xml:space="preserve">Google Ads (search + performance)</t>
  </si>
  <si>
    <t xml:space="preserve">Alta</t>
  </si>
  <si>
    <t xml:space="preserve">SEO / orgânico</t>
  </si>
  <si>
    <t xml:space="preserve">Indicação (MGM)</t>
  </si>
  <si>
    <t xml:space="preserve">Direto / branded</t>
  </si>
  <si>
    <t xml:space="preserve">Muito Alta</t>
  </si>
  <si>
    <t xml:space="preserve">Parcerias (influencers + B2B)</t>
  </si>
  <si>
    <t xml:space="preserve">Baixa</t>
  </si>
  <si>
    <t xml:space="preserve">Total / Média ponderada</t>
  </si>
  <si>
    <t xml:space="preserve">Notas da CMO (Beatriz)</t>
  </si>
  <si>
    <t xml:space="preserve">•  Meta Ads escalou volume mas qualidade despencou — CAC por ativado 2x maior que Google. Reavaliar criativos + público.</t>
  </si>
  <si>
    <t xml:space="preserve">•  Indicação (MGM) é o canal campeão de custo-benefício: R$ 108 por ativado e ativação acima da média. Merece investimento.</t>
  </si>
  <si>
    <t xml:space="preserve">•  Parcerias com influencers trouxeram muito signup de má qualidade. Proposta: cortar no Q2 e realocar para SEO.</t>
  </si>
  <si>
    <t xml:space="preserve">•  SEO está subvalorizado. Se dobrarmos investimento em conteúdo, estimativa: +40% ativados/mês em 2 quarters a CAC de R$ 50.</t>
  </si>
  <si>
    <t xml:space="preserve">Cash Flow &amp; Runway — Histórico + Projeção</t>
  </si>
  <si>
    <t xml:space="preserve">Valores em R$ milhões | Últimos 6 meses + projeção 12 meses no burn atual</t>
  </si>
  <si>
    <t xml:space="preserve">Premissas (editáveis — cor azul)</t>
  </si>
  <si>
    <t xml:space="preserve">Burn mensal médio (R$ mm)</t>
  </si>
  <si>
    <t xml:space="preserve">Crescimento de burn mensal (% ao mês)</t>
  </si>
  <si>
    <t xml:space="preserve">Saldo inicial outubro/25 (R$ mm)</t>
  </si>
  <si>
    <t xml:space="preserve">Mês</t>
  </si>
  <si>
    <t xml:space="preserve">Burn (R$ mm)</t>
  </si>
  <si>
    <t xml:space="preserve">Saldo (R$ mm)</t>
  </si>
  <si>
    <t xml:space="preserve">Runway no mês (meses)</t>
  </si>
  <si>
    <t xml:space="preserve">Fase</t>
  </si>
  <si>
    <t xml:space="preserve">Out/25</t>
  </si>
  <si>
    <t xml:space="preserve">Pré-aceleração Growth</t>
  </si>
  <si>
    <t xml:space="preserve">Nov/25</t>
  </si>
  <si>
    <t xml:space="preserve">Dez/25</t>
  </si>
  <si>
    <t xml:space="preserve">Aceleração Q1</t>
  </si>
  <si>
    <t xml:space="preserve">Abr/26</t>
  </si>
  <si>
    <t xml:space="preserve">Q2 em execução</t>
  </si>
  <si>
    <t xml:space="preserve">Mai/26</t>
  </si>
  <si>
    <t xml:space="preserve">Jun/26</t>
  </si>
  <si>
    <t xml:space="preserve">Jul/26</t>
  </si>
  <si>
    <t xml:space="preserve">Preparação Série B</t>
  </si>
  <si>
    <t xml:space="preserve">Ago/26</t>
  </si>
  <si>
    <t xml:space="preserve">Set/26</t>
  </si>
  <si>
    <t xml:space="preserve">Início de pitching Série B</t>
  </si>
  <si>
    <t xml:space="preserve">Out/26</t>
  </si>
  <si>
    <t xml:space="preserve">Negociação term-sheet</t>
  </si>
  <si>
    <t xml:space="preserve">Nov/26</t>
  </si>
  <si>
    <t xml:space="preserve">Dez/26</t>
  </si>
  <si>
    <t xml:space="preserve">Fechamento Série B (target)</t>
  </si>
  <si>
    <t xml:space="preserve">Jan/27</t>
  </si>
  <si>
    <t xml:space="preserve">Zona de risco se Série B atrasar</t>
  </si>
  <si>
    <t xml:space="preserve">Fev/27</t>
  </si>
  <si>
    <t xml:space="preserve">Mar/27</t>
  </si>
  <si>
    <t xml:space="preserve">Runway crítico</t>
  </si>
  <si>
    <t xml:space="preserve">Glossário &amp; Convenções</t>
  </si>
  <si>
    <t xml:space="preserve">Termo</t>
  </si>
  <si>
    <t xml:space="preserve">Definição</t>
  </si>
  <si>
    <t xml:space="preserve">ARR</t>
  </si>
  <si>
    <t xml:space="preserve">Annual Recurring Revenue. MRR do mês de saída multiplicado por 12.</t>
  </si>
  <si>
    <t xml:space="preserve">MRR</t>
  </si>
  <si>
    <t xml:space="preserve">Receita recorrente mensal. Soma do mês de assinatura Pro + take rate + float.</t>
  </si>
  <si>
    <t xml:space="preserve">CAC</t>
  </si>
  <si>
    <t xml:space="preserve">Custo de Aquisição de Cliente. Marketing spend ÷ ativados no período.</t>
  </si>
  <si>
    <t xml:space="preserve">LTV</t>
  </si>
  <si>
    <t xml:space="preserve">Lifetime Value. ARPU × margem bruta ÷ churn mensal.</t>
  </si>
  <si>
    <t xml:space="preserve">ARPU</t>
  </si>
  <si>
    <t xml:space="preserve">Receita média por usuário por mês.</t>
  </si>
  <si>
    <t xml:space="preserve">Ativado</t>
  </si>
  <si>
    <t xml:space="preserve">Cliente que fez a primeira aplicação em até 30 dias após o signup.</t>
  </si>
  <si>
    <t xml:space="preserve">Pagantes ativos</t>
  </si>
  <si>
    <t xml:space="preserve">Usuários com saldo investido &gt; R$ 0 no fim do mês. Inclui Free e Pro.</t>
  </si>
  <si>
    <t xml:space="preserve">Burn</t>
  </si>
  <si>
    <t xml:space="preserve">Saída líquida de caixa por mês (custos – receita).</t>
  </si>
  <si>
    <t xml:space="preserve">Runway</t>
  </si>
  <si>
    <t xml:space="preserve">Meses que o caixa dura no burn atual.</t>
  </si>
  <si>
    <t xml:space="preserve">Float</t>
  </si>
  <si>
    <t xml:space="preserve">Receita de aplicar o caixa próprio da empresa em renda fixa.</t>
  </si>
  <si>
    <t xml:space="preserve">Take rate</t>
  </si>
  <si>
    <t xml:space="preserve">Parcela de cada transação de investimento que fica com a ArenaCash.</t>
  </si>
  <si>
    <t xml:space="preserve">Proporção LTV ÷ CAC. &gt;3x é saudável; &lt;1x é queima de dinheiro.</t>
  </si>
  <si>
    <t xml:space="preserve">Regime de caixa</t>
  </si>
  <si>
    <t xml:space="preserve">Contabilização no momento do recebimento/pagamento efetivo, não da competência.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</si>
</sst>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&quot;R$ &quot;#,##0.00;[RED]&quot;(R$ &quot;#,##0.00\);\-"/>
    <numFmt numFmtId="166" formatCode="#,##0.0;[RED]\(#,##0.0\);\-"/>
    <numFmt numFmtId="167" formatCode="&quot;R$ &quot;#,##0;[RED]&quot;(R$ &quot;#,##0\);\-"/>
    <numFmt numFmtId="168" formatCode="0.0\%"/>
    <numFmt numFmtId="169" formatCode="0.0%;[RED]\(0.0%\);\-"/>
    <numFmt numFmtId="170" formatCode="&quot;R$ &quot;#,##0.0;[RED]&quot;(R$ &quot;#,##0.0\);\-"/>
    <numFmt numFmtId="171" formatCode="&quot;R$ &quot;#,##0.00"/>
    <numFmt numFmtId="172" formatCode="&quot;R$ &quot;#,##0"/>
    <numFmt numFmtId="173" formatCode="0.00\x"/>
    <numFmt numFmtId="174" formatCode="#,##0"/>
    <numFmt numFmtId="175" formatCode="0.0%"/>
    <numFmt numFmtId="176" formatCode="#,##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26522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CC33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1A2332"/>
      </patternFill>
    </fill>
    <fill>
      <patternFill patternType="solid">
        <fgColor rgb="FF1A2332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2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6522"/>
      <rgbColor rgb="FF666666"/>
      <rgbColor rgb="FF969696"/>
      <rgbColor rgb="FF003366"/>
      <rgbColor rgb="FF339966"/>
      <rgbColor rgb="FF003300"/>
      <rgbColor rgb="FF333300"/>
      <rgbColor rgb="FFCC3300"/>
      <rgbColor rgb="FF993366"/>
      <rgbColor rgb="FF333399"/>
      <rgbColor rgb="FF1A23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3" min="2" style="1" width="14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58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v>14.2</v>
      </c>
      <c r="C5" s="6" t="n">
        <v>15.2</v>
      </c>
      <c r="D5" s="7" t="n">
        <f aca="false">C5-B5</f>
        <v>1</v>
      </c>
      <c r="E5" s="6" t="n">
        <v>17.5</v>
      </c>
      <c r="F5" s="8" t="s">
        <v>9</v>
      </c>
    </row>
    <row r="6" customFormat="false" ht="15" hidden="false" customHeight="true" outlineLevel="0" collapsed="false">
      <c r="A6" s="5" t="s">
        <v>10</v>
      </c>
      <c r="B6" s="6" t="n">
        <v>1.18</v>
      </c>
      <c r="C6" s="6" t="n">
        <v>1.27</v>
      </c>
      <c r="D6" s="7" t="n">
        <f aca="false">C6-B6</f>
        <v>0.0900000000000001</v>
      </c>
      <c r="E6" s="6" t="n">
        <v>1.46</v>
      </c>
      <c r="F6" s="8" t="s">
        <v>11</v>
      </c>
    </row>
    <row r="7" customFormat="false" ht="15" hidden="false" customHeight="true" outlineLevel="0" collapsed="false">
      <c r="A7" s="5" t="s">
        <v>12</v>
      </c>
      <c r="B7" s="9" t="n">
        <v>45.1</v>
      </c>
      <c r="C7" s="9" t="n">
        <v>43.8</v>
      </c>
      <c r="D7" s="10" t="n">
        <f aca="false">C7-B7</f>
        <v>-1.3</v>
      </c>
      <c r="E7" s="9" t="n">
        <v>52</v>
      </c>
      <c r="F7" s="8" t="s">
        <v>13</v>
      </c>
    </row>
    <row r="8" customFormat="false" ht="15" hidden="false" customHeight="true" outlineLevel="0" collapsed="false">
      <c r="A8" s="5" t="s">
        <v>14</v>
      </c>
      <c r="B8" s="9" t="n">
        <v>3.1</v>
      </c>
      <c r="C8" s="9" t="n">
        <v>4</v>
      </c>
      <c r="D8" s="10" t="n">
        <f aca="false">C8-B8</f>
        <v>0.9</v>
      </c>
      <c r="E8" s="9" t="n">
        <v>5.5</v>
      </c>
      <c r="F8" s="8" t="s">
        <v>15</v>
      </c>
    </row>
    <row r="9" customFormat="false" ht="15" hidden="false" customHeight="true" outlineLevel="0" collapsed="false">
      <c r="A9" s="5" t="s">
        <v>16</v>
      </c>
      <c r="B9" s="11" t="n">
        <v>120</v>
      </c>
      <c r="C9" s="11" t="n">
        <v>180</v>
      </c>
      <c r="D9" s="12" t="n">
        <f aca="false">C9-B9</f>
        <v>60</v>
      </c>
      <c r="E9" s="11" t="n">
        <v>160</v>
      </c>
      <c r="F9" s="8" t="s">
        <v>17</v>
      </c>
    </row>
    <row r="10" customFormat="false" ht="15" hidden="false" customHeight="true" outlineLevel="0" collapsed="false">
      <c r="A10" s="5" t="s">
        <v>18</v>
      </c>
      <c r="B10" s="11" t="n">
        <v>490</v>
      </c>
      <c r="C10" s="11" t="n">
        <v>290</v>
      </c>
      <c r="D10" s="12" t="n">
        <f aca="false">C10-B10</f>
        <v>-200</v>
      </c>
      <c r="E10" s="11" t="n">
        <v>520</v>
      </c>
      <c r="F10" s="8" t="s">
        <v>19</v>
      </c>
    </row>
    <row r="11" customFormat="false" ht="15" hidden="false" customHeight="true" outlineLevel="0" collapsed="false">
      <c r="A11" s="5" t="s">
        <v>20</v>
      </c>
      <c r="B11" s="12" t="n">
        <f aca="false">B10/B9</f>
        <v>4.08333333333333</v>
      </c>
      <c r="C11" s="12" t="n">
        <f aca="false">C10/C9</f>
        <v>1.61111111111111</v>
      </c>
      <c r="D11" s="12" t="n">
        <f aca="false">C11-B11</f>
        <v>-2.47222222222222</v>
      </c>
      <c r="E11" s="12" t="n">
        <f aca="false">E10/E9</f>
        <v>3.25</v>
      </c>
      <c r="F11" s="8" t="s">
        <v>21</v>
      </c>
    </row>
    <row r="12" customFormat="false" ht="15" hidden="false" customHeight="true" outlineLevel="0" collapsed="false">
      <c r="A12" s="5" t="s">
        <v>22</v>
      </c>
      <c r="B12" s="13" t="n">
        <v>2.9</v>
      </c>
      <c r="C12" s="13" t="n">
        <v>4</v>
      </c>
      <c r="D12" s="14" t="n">
        <f aca="false">C12-B12</f>
        <v>1.1</v>
      </c>
      <c r="E12" s="13" t="n">
        <v>2.8</v>
      </c>
      <c r="F12" s="8" t="s">
        <v>23</v>
      </c>
    </row>
    <row r="13" customFormat="false" ht="15" hidden="false" customHeight="true" outlineLevel="0" collapsed="false">
      <c r="A13" s="5" t="s">
        <v>24</v>
      </c>
      <c r="B13" s="6" t="n">
        <v>2.3</v>
      </c>
      <c r="C13" s="6" t="n">
        <v>2.5</v>
      </c>
      <c r="D13" s="7" t="n">
        <f aca="false">C13-B13</f>
        <v>0.2</v>
      </c>
      <c r="E13" s="6" t="n">
        <v>2.7</v>
      </c>
      <c r="F13" s="8" t="s">
        <v>25</v>
      </c>
    </row>
    <row r="14" customFormat="false" ht="15" hidden="false" customHeight="true" outlineLevel="0" collapsed="false">
      <c r="A14" s="5" t="s">
        <v>26</v>
      </c>
      <c r="B14" s="6" t="n">
        <v>52.5</v>
      </c>
      <c r="C14" s="6" t="n">
        <v>45</v>
      </c>
      <c r="D14" s="7" t="n">
        <f aca="false">C14-B14</f>
        <v>-7.5</v>
      </c>
      <c r="E14" s="6" t="n">
        <v>37</v>
      </c>
      <c r="F14" s="8" t="s">
        <v>27</v>
      </c>
    </row>
    <row r="15" customFormat="false" ht="15" hidden="false" customHeight="true" outlineLevel="0" collapsed="false">
      <c r="A15" s="5" t="s">
        <v>28</v>
      </c>
      <c r="B15" s="10" t="n">
        <f aca="false">B14/B13</f>
        <v>22.8260869565217</v>
      </c>
      <c r="C15" s="10" t="n">
        <f aca="false">C14/C13</f>
        <v>18</v>
      </c>
      <c r="D15" s="10" t="n">
        <f aca="false">C15-B15</f>
        <v>-4.82608695652174</v>
      </c>
      <c r="E15" s="10" t="n">
        <f aca="false">E14/E13</f>
        <v>13.7037037037037</v>
      </c>
      <c r="F15" s="8" t="s">
        <v>29</v>
      </c>
    </row>
    <row r="17" customFormat="false" ht="15" hidden="false" customHeight="true" outlineLevel="0" collapsed="false">
      <c r="A17" s="15" t="s">
        <v>30</v>
      </c>
      <c r="B17" s="15"/>
      <c r="C17" s="15"/>
      <c r="D17" s="15"/>
      <c r="E17" s="15"/>
      <c r="F17" s="15"/>
    </row>
    <row r="18" customFormat="false" ht="31.5" hidden="false" customHeight="true" outlineLevel="0" collapsed="false">
      <c r="A18" s="16" t="s">
        <v>31</v>
      </c>
      <c r="B18" s="16"/>
      <c r="C18" s="16"/>
      <c r="D18" s="16"/>
      <c r="E18" s="16"/>
      <c r="F18" s="16"/>
    </row>
    <row r="19" customFormat="false" ht="31.5" hidden="false" customHeight="true" outlineLevel="0" collapsed="false">
      <c r="A19" s="16" t="s">
        <v>32</v>
      </c>
      <c r="B19" s="16"/>
      <c r="C19" s="16"/>
      <c r="D19" s="16"/>
      <c r="E19" s="16"/>
      <c r="F19" s="16"/>
    </row>
    <row r="20" customFormat="false" ht="31.5" hidden="false" customHeight="true" outlineLevel="0" collapsed="false">
      <c r="A20" s="16" t="s">
        <v>33</v>
      </c>
      <c r="B20" s="16"/>
      <c r="C20" s="16"/>
      <c r="D20" s="16"/>
      <c r="E20" s="16"/>
      <c r="F20" s="16"/>
    </row>
    <row r="21" customFormat="false" ht="31.5" hidden="false" customHeight="true" outlineLevel="0" collapsed="false">
      <c r="A21" s="16" t="s">
        <v>34</v>
      </c>
      <c r="B21" s="16"/>
      <c r="C21" s="16"/>
      <c r="D21" s="16"/>
      <c r="E21" s="16"/>
      <c r="F21" s="16"/>
    </row>
    <row r="22" customFormat="false" ht="31.5" hidden="false" customHeight="true" outlineLevel="0" collapsed="false">
      <c r="A22" s="16" t="s">
        <v>35</v>
      </c>
      <c r="B22" s="16"/>
      <c r="C22" s="16"/>
      <c r="D22" s="16"/>
      <c r="E22" s="16"/>
      <c r="F22" s="16"/>
    </row>
  </sheetData>
  <mergeCells count="8">
    <mergeCell ref="A1:F1"/>
    <mergeCell ref="A2:F2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6" min="2" style="1" width="14"/>
  </cols>
  <sheetData>
    <row r="1" customFormat="false" ht="17.25" hidden="false" customHeight="true" outlineLevel="0" collapsed="false">
      <c r="A1" s="2" t="s">
        <v>36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37</v>
      </c>
      <c r="B2" s="3"/>
      <c r="C2" s="3"/>
      <c r="D2" s="3"/>
      <c r="E2" s="3"/>
      <c r="F2" s="3"/>
    </row>
    <row r="4" customFormat="false" ht="21.75" hidden="false" customHeight="tru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43</v>
      </c>
    </row>
    <row r="5" customFormat="false" ht="15" hidden="false" customHeight="true" outlineLevel="0" collapsed="false">
      <c r="A5" s="17" t="s">
        <v>44</v>
      </c>
      <c r="B5" s="18"/>
      <c r="C5" s="18"/>
      <c r="D5" s="18"/>
      <c r="E5" s="18"/>
      <c r="F5" s="18"/>
    </row>
    <row r="6" customFormat="false" ht="15" hidden="false" customHeight="true" outlineLevel="0" collapsed="false">
      <c r="A6" s="19" t="s">
        <v>45</v>
      </c>
      <c r="B6" s="11" t="n">
        <v>98</v>
      </c>
      <c r="C6" s="11" t="n">
        <v>107</v>
      </c>
      <c r="D6" s="11" t="n">
        <v>116</v>
      </c>
      <c r="E6" s="12" t="n">
        <f aca="false">SUM(B6:D6)</f>
        <v>321</v>
      </c>
      <c r="F6" s="20" t="n">
        <f aca="false">E6/E10</f>
        <v>0.0845626975763962</v>
      </c>
    </row>
    <row r="7" customFormat="false" ht="15" hidden="false" customHeight="true" outlineLevel="0" collapsed="false">
      <c r="A7" s="19" t="s">
        <v>46</v>
      </c>
      <c r="B7" s="11" t="n">
        <v>680</v>
      </c>
      <c r="C7" s="11" t="n">
        <v>780</v>
      </c>
      <c r="D7" s="11" t="n">
        <v>850</v>
      </c>
      <c r="E7" s="12" t="n">
        <f aca="false">SUM(B7:D7)</f>
        <v>2310</v>
      </c>
      <c r="F7" s="20" t="n">
        <f aca="false">E7/E10</f>
        <v>0.608535300316122</v>
      </c>
    </row>
    <row r="8" customFormat="false" ht="15" hidden="false" customHeight="true" outlineLevel="0" collapsed="false">
      <c r="A8" s="19" t="s">
        <v>47</v>
      </c>
      <c r="B8" s="11" t="n">
        <v>340</v>
      </c>
      <c r="C8" s="11" t="n">
        <v>325</v>
      </c>
      <c r="D8" s="11" t="n">
        <v>310</v>
      </c>
      <c r="E8" s="12" t="n">
        <f aca="false">SUM(B8:D8)</f>
        <v>975</v>
      </c>
      <c r="F8" s="20" t="n">
        <f aca="false">E8/E10</f>
        <v>0.256849315068493</v>
      </c>
    </row>
    <row r="9" customFormat="false" ht="15" hidden="false" customHeight="true" outlineLevel="0" collapsed="false">
      <c r="A9" s="19" t="s">
        <v>48</v>
      </c>
      <c r="B9" s="11" t="n">
        <v>100</v>
      </c>
      <c r="C9" s="11" t="n">
        <v>40</v>
      </c>
      <c r="D9" s="11" t="n">
        <v>50</v>
      </c>
      <c r="E9" s="12" t="n">
        <f aca="false">SUM(B9:D9)</f>
        <v>190</v>
      </c>
      <c r="F9" s="20" t="n">
        <f aca="false">E9/E10</f>
        <v>0.0500526870389884</v>
      </c>
    </row>
    <row r="10" customFormat="false" ht="15" hidden="false" customHeight="true" outlineLevel="0" collapsed="false">
      <c r="A10" s="5" t="s">
        <v>49</v>
      </c>
      <c r="B10" s="21" t="n">
        <f aca="false">SUM(B6:B9)</f>
        <v>1218</v>
      </c>
      <c r="C10" s="21" t="n">
        <f aca="false">SUM(C6:C9)</f>
        <v>1252</v>
      </c>
      <c r="D10" s="21" t="n">
        <f aca="false">SUM(D6:D9)</f>
        <v>1326</v>
      </c>
      <c r="E10" s="21" t="n">
        <f aca="false">SUM(E6:E9)</f>
        <v>3796</v>
      </c>
      <c r="F10" s="20" t="n">
        <f aca="false">E10/E10</f>
        <v>1</v>
      </c>
    </row>
    <row r="11" customFormat="false" ht="15" hidden="false" customHeight="true" outlineLevel="0" collapsed="false">
      <c r="A11" s="19"/>
    </row>
    <row r="12" customFormat="false" ht="15" hidden="false" customHeight="true" outlineLevel="0" collapsed="false">
      <c r="A12" s="17" t="s">
        <v>50</v>
      </c>
      <c r="B12" s="18"/>
      <c r="C12" s="18"/>
      <c r="D12" s="18"/>
      <c r="E12" s="18"/>
      <c r="F12" s="18"/>
    </row>
    <row r="13" customFormat="false" ht="15" hidden="false" customHeight="true" outlineLevel="0" collapsed="false">
      <c r="A13" s="19" t="s">
        <v>51</v>
      </c>
      <c r="B13" s="11" t="n">
        <v>1450</v>
      </c>
      <c r="C13" s="11" t="n">
        <v>1490</v>
      </c>
      <c r="D13" s="11" t="n">
        <v>1510</v>
      </c>
      <c r="E13" s="12" t="n">
        <f aca="false">SUM(B13:D13)</f>
        <v>4450</v>
      </c>
      <c r="F13" s="20" t="n">
        <f aca="false">E13/E10</f>
        <v>1.1722866174921</v>
      </c>
    </row>
    <row r="14" customFormat="false" ht="15" hidden="false" customHeight="true" outlineLevel="0" collapsed="false">
      <c r="A14" s="19" t="s">
        <v>52</v>
      </c>
      <c r="B14" s="11" t="n">
        <v>1280</v>
      </c>
      <c r="C14" s="11" t="n">
        <v>1380</v>
      </c>
      <c r="D14" s="11" t="n">
        <v>1420</v>
      </c>
      <c r="E14" s="12" t="n">
        <f aca="false">SUM(B14:D14)</f>
        <v>4080</v>
      </c>
      <c r="F14" s="20" t="n">
        <f aca="false">E14/E10</f>
        <v>1.07481559536354</v>
      </c>
    </row>
    <row r="15" customFormat="false" ht="15" hidden="false" customHeight="true" outlineLevel="0" collapsed="false">
      <c r="A15" s="19" t="s">
        <v>53</v>
      </c>
      <c r="B15" s="11" t="n">
        <v>290</v>
      </c>
      <c r="C15" s="11" t="n">
        <v>300</v>
      </c>
      <c r="D15" s="11" t="n">
        <v>310</v>
      </c>
      <c r="E15" s="12" t="n">
        <f aca="false">SUM(B15:D15)</f>
        <v>900</v>
      </c>
      <c r="F15" s="20" t="n">
        <f aca="false">E15/E10</f>
        <v>0.23709167544784</v>
      </c>
    </row>
    <row r="16" customFormat="false" ht="15" hidden="false" customHeight="true" outlineLevel="0" collapsed="false">
      <c r="A16" s="19" t="s">
        <v>54</v>
      </c>
      <c r="B16" s="11" t="n">
        <v>180</v>
      </c>
      <c r="C16" s="11" t="n">
        <v>200</v>
      </c>
      <c r="D16" s="11" t="n">
        <v>220</v>
      </c>
      <c r="E16" s="12" t="n">
        <f aca="false">SUM(B16:D16)</f>
        <v>600</v>
      </c>
      <c r="F16" s="20" t="n">
        <f aca="false">E16/E10</f>
        <v>0.158061116965227</v>
      </c>
    </row>
    <row r="17" customFormat="false" ht="15" hidden="false" customHeight="true" outlineLevel="0" collapsed="false">
      <c r="A17" s="19" t="s">
        <v>55</v>
      </c>
      <c r="B17" s="11" t="n">
        <v>340</v>
      </c>
      <c r="C17" s="11" t="n">
        <v>360</v>
      </c>
      <c r="D17" s="11" t="n">
        <v>365</v>
      </c>
      <c r="E17" s="12" t="n">
        <f aca="false">SUM(B17:D17)</f>
        <v>1065</v>
      </c>
      <c r="F17" s="20" t="n">
        <f aca="false">E17/E10</f>
        <v>0.280558482613277</v>
      </c>
    </row>
    <row r="18" customFormat="false" ht="15" hidden="false" customHeight="true" outlineLevel="0" collapsed="false">
      <c r="A18" s="5" t="s">
        <v>56</v>
      </c>
      <c r="B18" s="21" t="n">
        <f aca="false">SUM(B13:B17)</f>
        <v>3540</v>
      </c>
      <c r="C18" s="21" t="n">
        <f aca="false">SUM(C13:C17)</f>
        <v>3730</v>
      </c>
      <c r="D18" s="21" t="n">
        <f aca="false">SUM(D13:D17)</f>
        <v>3825</v>
      </c>
      <c r="E18" s="21" t="n">
        <f aca="false">SUM(E13:E17)</f>
        <v>11095</v>
      </c>
      <c r="F18" s="20" t="n">
        <f aca="false">E18/E10</f>
        <v>2.92281348788198</v>
      </c>
    </row>
    <row r="19" customFormat="false" ht="15" hidden="false" customHeight="true" outlineLevel="0" collapsed="false">
      <c r="A19" s="19"/>
    </row>
    <row r="20" customFormat="false" ht="15" hidden="false" customHeight="true" outlineLevel="0" collapsed="false">
      <c r="A20" s="17" t="s">
        <v>57</v>
      </c>
      <c r="B20" s="18"/>
      <c r="C20" s="18"/>
      <c r="D20" s="18"/>
      <c r="E20" s="18"/>
      <c r="F20" s="18"/>
    </row>
    <row r="21" customFormat="false" ht="15" hidden="false" customHeight="true" outlineLevel="0" collapsed="false">
      <c r="A21" s="5" t="s">
        <v>58</v>
      </c>
      <c r="B21" s="22" t="n">
        <f aca="false">B10-B18</f>
        <v>-2322</v>
      </c>
      <c r="C21" s="22" t="n">
        <f aca="false">C10-C18</f>
        <v>-2478</v>
      </c>
      <c r="D21" s="22" t="n">
        <f aca="false">D10-D18</f>
        <v>-2499</v>
      </c>
      <c r="E21" s="22" t="n">
        <f aca="false">E10-E18</f>
        <v>-7299</v>
      </c>
    </row>
    <row r="22" customFormat="false" ht="15" hidden="false" customHeight="true" outlineLevel="0" collapsed="false">
      <c r="A22" s="19" t="s">
        <v>59</v>
      </c>
      <c r="B22" s="20" t="n">
        <f aca="false">B21/B10</f>
        <v>-1.9064039408867</v>
      </c>
      <c r="C22" s="20" t="n">
        <f aca="false">C21/C10</f>
        <v>-1.97923322683706</v>
      </c>
      <c r="D22" s="20" t="n">
        <f aca="false">D21/D10</f>
        <v>-1.88461538461538</v>
      </c>
      <c r="E22" s="20" t="n">
        <f aca="false">E21/E10</f>
        <v>-1.92281348788198</v>
      </c>
    </row>
    <row r="23" customFormat="false" ht="15" hidden="false" customHeight="true" outlineLevel="0" collapsed="false">
      <c r="A23" s="19"/>
    </row>
    <row r="24" customFormat="false" ht="15" hidden="false" customHeight="true" outlineLevel="0" collapsed="false">
      <c r="A24" s="17" t="s">
        <v>60</v>
      </c>
      <c r="B24" s="18"/>
      <c r="C24" s="18"/>
      <c r="D24" s="18"/>
      <c r="E24" s="18"/>
      <c r="F24" s="18"/>
    </row>
    <row r="25" customFormat="false" ht="15" hidden="false" customHeight="true" outlineLevel="0" collapsed="false">
      <c r="A25" s="19" t="s">
        <v>61</v>
      </c>
      <c r="B25" s="23" t="n">
        <v>52.5</v>
      </c>
      <c r="C25" s="23" t="n">
        <v>50</v>
      </c>
      <c r="D25" s="23" t="n">
        <v>47.5</v>
      </c>
    </row>
    <row r="26" customFormat="false" ht="15" hidden="false" customHeight="true" outlineLevel="0" collapsed="false">
      <c r="A26" s="19" t="s">
        <v>62</v>
      </c>
      <c r="B26" s="24" t="n">
        <f aca="false">B21/1000</f>
        <v>-2.322</v>
      </c>
      <c r="C26" s="24" t="n">
        <f aca="false">C21/1000</f>
        <v>-2.478</v>
      </c>
      <c r="D26" s="24" t="n">
        <f aca="false">D21/1000</f>
        <v>-2.499</v>
      </c>
    </row>
    <row r="27" customFormat="false" ht="15" hidden="false" customHeight="true" outlineLevel="0" collapsed="false">
      <c r="A27" s="19" t="s">
        <v>63</v>
      </c>
      <c r="B27" s="25" t="n">
        <f aca="false">B25+B26</f>
        <v>50.178</v>
      </c>
      <c r="C27" s="25" t="n">
        <f aca="false">C25+C26</f>
        <v>47.522</v>
      </c>
      <c r="D27" s="25" t="n">
        <f aca="false">D25+D26</f>
        <v>45.001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64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65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6" t="s">
        <v>66</v>
      </c>
      <c r="B4" s="26"/>
      <c r="C4" s="26"/>
      <c r="D4" s="26"/>
      <c r="E4" s="26"/>
      <c r="F4" s="26"/>
      <c r="G4" s="26"/>
      <c r="H4" s="26"/>
    </row>
    <row r="5" customFormat="false" ht="15" hidden="false" customHeight="true" outlineLevel="0" collapsed="false">
      <c r="A5" s="4" t="s">
        <v>67</v>
      </c>
      <c r="B5" s="4" t="s">
        <v>68</v>
      </c>
      <c r="C5" s="4" t="s">
        <v>69</v>
      </c>
      <c r="D5" s="4" t="s">
        <v>70</v>
      </c>
      <c r="E5" s="4" t="s">
        <v>22</v>
      </c>
      <c r="F5" s="4" t="s">
        <v>71</v>
      </c>
      <c r="G5" s="4" t="s">
        <v>72</v>
      </c>
      <c r="H5" s="4" t="s">
        <v>20</v>
      </c>
    </row>
    <row r="6" customFormat="false" ht="15" hidden="false" customHeight="true" outlineLevel="0" collapsed="false">
      <c r="A6" s="27" t="s">
        <v>73</v>
      </c>
      <c r="B6" s="28" t="n">
        <v>3</v>
      </c>
      <c r="C6" s="13" t="n">
        <v>45</v>
      </c>
      <c r="D6" s="29" t="n">
        <f aca="false">B6*C6/100</f>
        <v>1.35</v>
      </c>
      <c r="E6" s="13" t="n">
        <v>6.8</v>
      </c>
      <c r="F6" s="30" t="n">
        <f aca="false">D6/(E6/100)</f>
        <v>19.8529411764706</v>
      </c>
      <c r="G6" s="31" t="n">
        <v>85</v>
      </c>
      <c r="H6" s="32" t="n">
        <f aca="false">F6/G6</f>
        <v>0.23356401384083</v>
      </c>
    </row>
    <row r="7" customFormat="false" ht="15" hidden="false" customHeight="true" outlineLevel="0" collapsed="false">
      <c r="A7" s="27" t="s">
        <v>74</v>
      </c>
      <c r="B7" s="28" t="n">
        <v>44</v>
      </c>
      <c r="C7" s="13" t="n">
        <v>72</v>
      </c>
      <c r="D7" s="29" t="n">
        <f aca="false">B7*C7/100</f>
        <v>31.68</v>
      </c>
      <c r="E7" s="13" t="n">
        <v>3.5</v>
      </c>
      <c r="F7" s="30" t="n">
        <f aca="false">D7/(E7/100)</f>
        <v>905.142857142857</v>
      </c>
      <c r="G7" s="31" t="n">
        <v>320</v>
      </c>
      <c r="H7" s="32" t="n">
        <f aca="false">F7/G7</f>
        <v>2.82857142857143</v>
      </c>
    </row>
    <row r="8" customFormat="false" ht="15" hidden="false" customHeight="true" outlineLevel="0" collapsed="false">
      <c r="A8" s="27" t="s">
        <v>75</v>
      </c>
      <c r="B8" s="28" t="n">
        <v>29</v>
      </c>
      <c r="C8" s="13" t="n">
        <v>55</v>
      </c>
      <c r="D8" s="29" t="n">
        <f aca="false">B8*C8/100</f>
        <v>15.95</v>
      </c>
      <c r="E8" s="13" t="n">
        <v>5.5</v>
      </c>
      <c r="F8" s="30" t="n">
        <f aca="false">D8/(E8/100)</f>
        <v>290</v>
      </c>
      <c r="G8" s="31" t="n">
        <v>180</v>
      </c>
      <c r="H8" s="32" t="n">
        <f aca="false">F8/G8</f>
        <v>1.61111111111111</v>
      </c>
    </row>
    <row r="9" customFormat="false" ht="15" hidden="false" customHeight="true" outlineLevel="0" collapsed="false">
      <c r="A9" s="27" t="s">
        <v>76</v>
      </c>
      <c r="B9" s="28" t="n">
        <v>26</v>
      </c>
      <c r="C9" s="13" t="n">
        <v>60</v>
      </c>
      <c r="D9" s="29" t="n">
        <f aca="false">B9*C9/100</f>
        <v>15.6</v>
      </c>
      <c r="E9" s="13" t="n">
        <v>3.2</v>
      </c>
      <c r="F9" s="30" t="n">
        <f aca="false">D9/(E9/100)</f>
        <v>487.5</v>
      </c>
      <c r="G9" s="31" t="n">
        <v>120</v>
      </c>
      <c r="H9" s="32" t="n">
        <f aca="false">F9/G9</f>
        <v>4.0625</v>
      </c>
    </row>
    <row r="11" customFormat="false" ht="15" hidden="false" customHeight="true" outlineLevel="0" collapsed="false">
      <c r="A11" s="26" t="s">
        <v>77</v>
      </c>
      <c r="B11" s="26"/>
      <c r="C11" s="26"/>
      <c r="D11" s="26"/>
      <c r="E11" s="26"/>
      <c r="F11" s="26"/>
      <c r="G11" s="26"/>
      <c r="H11" s="26"/>
    </row>
    <row r="12" customFormat="false" ht="15" hidden="false" customHeight="true" outlineLevel="0" collapsed="false">
      <c r="A12" s="4" t="s">
        <v>78</v>
      </c>
      <c r="B12" s="4" t="s">
        <v>79</v>
      </c>
      <c r="C12" s="4" t="s">
        <v>80</v>
      </c>
      <c r="D12" s="4" t="s">
        <v>81</v>
      </c>
      <c r="E12" s="4" t="s">
        <v>82</v>
      </c>
      <c r="F12" s="4" t="s">
        <v>83</v>
      </c>
      <c r="G12" s="4" t="s">
        <v>84</v>
      </c>
      <c r="H12" s="4" t="s">
        <v>85</v>
      </c>
    </row>
    <row r="13" customFormat="false" ht="15" hidden="false" customHeight="true" outlineLevel="0" collapsed="false">
      <c r="A13" s="33" t="s">
        <v>86</v>
      </c>
      <c r="B13" s="31" t="n">
        <v>1650</v>
      </c>
      <c r="C13" s="34" t="n">
        <v>28500</v>
      </c>
      <c r="D13" s="34" t="n">
        <v>6000</v>
      </c>
      <c r="E13" s="35" t="n">
        <f aca="false">D13/C13</f>
        <v>0.210526315789474</v>
      </c>
      <c r="F13" s="30" t="n">
        <f aca="false">B13*1000/D13</f>
        <v>275</v>
      </c>
      <c r="G13" s="35" t="n">
        <f aca="false">C13/SUM($C$13:$C$18)</f>
        <v>0.365384615384615</v>
      </c>
      <c r="H13" s="36" t="s">
        <v>87</v>
      </c>
    </row>
    <row r="14" customFormat="false" ht="15" hidden="false" customHeight="true" outlineLevel="0" collapsed="false">
      <c r="A14" s="33" t="s">
        <v>88</v>
      </c>
      <c r="B14" s="31" t="n">
        <v>1320</v>
      </c>
      <c r="C14" s="34" t="n">
        <v>14200</v>
      </c>
      <c r="D14" s="34" t="n">
        <v>4500</v>
      </c>
      <c r="E14" s="35" t="n">
        <f aca="false">D14/C14</f>
        <v>0.316901408450704</v>
      </c>
      <c r="F14" s="30" t="n">
        <f aca="false">B14*1000/D14</f>
        <v>293.333333333333</v>
      </c>
      <c r="G14" s="35" t="n">
        <f aca="false">C14/SUM($C$13:$C$18)</f>
        <v>0.182051282051282</v>
      </c>
      <c r="H14" s="36" t="s">
        <v>89</v>
      </c>
    </row>
    <row r="15" customFormat="false" ht="15" hidden="false" customHeight="true" outlineLevel="0" collapsed="false">
      <c r="A15" s="33" t="s">
        <v>90</v>
      </c>
      <c r="B15" s="31" t="n">
        <v>180</v>
      </c>
      <c r="C15" s="34" t="n">
        <v>12000</v>
      </c>
      <c r="D15" s="34" t="n">
        <v>3600</v>
      </c>
      <c r="E15" s="35" t="n">
        <f aca="false">D15/C15</f>
        <v>0.3</v>
      </c>
      <c r="F15" s="30" t="n">
        <f aca="false">B15*1000/D15</f>
        <v>50</v>
      </c>
      <c r="G15" s="35" t="n">
        <f aca="false">C15/SUM($C$13:$C$18)</f>
        <v>0.153846153846154</v>
      </c>
      <c r="H15" s="36" t="s">
        <v>89</v>
      </c>
    </row>
    <row r="16" customFormat="false" ht="15" hidden="false" customHeight="true" outlineLevel="0" collapsed="false">
      <c r="A16" s="33" t="s">
        <v>91</v>
      </c>
      <c r="B16" s="31" t="n">
        <v>420</v>
      </c>
      <c r="C16" s="34" t="n">
        <v>9800</v>
      </c>
      <c r="D16" s="34" t="n">
        <v>3900</v>
      </c>
      <c r="E16" s="35" t="n">
        <f aca="false">D16/C16</f>
        <v>0.397959183673469</v>
      </c>
      <c r="F16" s="30" t="n">
        <f aca="false">B16*1000/D16</f>
        <v>107.692307692308</v>
      </c>
      <c r="G16" s="35" t="n">
        <f aca="false">C16/SUM($C$13:$C$18)</f>
        <v>0.125641025641026</v>
      </c>
      <c r="H16" s="36" t="s">
        <v>89</v>
      </c>
    </row>
    <row r="17" customFormat="false" ht="15" hidden="false" customHeight="true" outlineLevel="0" collapsed="false">
      <c r="A17" s="33" t="s">
        <v>92</v>
      </c>
      <c r="B17" s="31" t="n">
        <v>50</v>
      </c>
      <c r="C17" s="34" t="n">
        <v>6500</v>
      </c>
      <c r="D17" s="34" t="n">
        <v>2800</v>
      </c>
      <c r="E17" s="35" t="n">
        <f aca="false">D17/C17</f>
        <v>0.430769230769231</v>
      </c>
      <c r="F17" s="30" t="n">
        <f aca="false">B17*1000/D17</f>
        <v>17.8571428571429</v>
      </c>
      <c r="G17" s="35" t="n">
        <f aca="false">C17/SUM($C$13:$C$18)</f>
        <v>0.0833333333333333</v>
      </c>
      <c r="H17" s="36" t="s">
        <v>93</v>
      </c>
    </row>
    <row r="18" customFormat="false" ht="15" hidden="false" customHeight="true" outlineLevel="0" collapsed="false">
      <c r="A18" s="33" t="s">
        <v>94</v>
      </c>
      <c r="B18" s="31" t="n">
        <v>460</v>
      </c>
      <c r="C18" s="34" t="n">
        <v>7000</v>
      </c>
      <c r="D18" s="34" t="n">
        <v>1400</v>
      </c>
      <c r="E18" s="35" t="n">
        <f aca="false">D18/C18</f>
        <v>0.2</v>
      </c>
      <c r="F18" s="30" t="n">
        <f aca="false">B18*1000/D18</f>
        <v>328.571428571429</v>
      </c>
      <c r="G18" s="35" t="n">
        <f aca="false">C18/SUM($C$13:$C$18)</f>
        <v>0.0897435897435897</v>
      </c>
      <c r="H18" s="36" t="s">
        <v>95</v>
      </c>
    </row>
    <row r="19" customFormat="false" ht="15" hidden="false" customHeight="true" outlineLevel="0" collapsed="false">
      <c r="A19" s="37" t="s">
        <v>96</v>
      </c>
      <c r="B19" s="38" t="n">
        <f aca="false">SUM(B13:B18)</f>
        <v>4080</v>
      </c>
      <c r="C19" s="39" t="n">
        <f aca="false">SUM(C13:C18)</f>
        <v>78000</v>
      </c>
      <c r="D19" s="39" t="n">
        <f aca="false">SUM(D13:D18)</f>
        <v>22200</v>
      </c>
      <c r="E19" s="40" t="n">
        <f aca="false">D19/C19</f>
        <v>0.284615384615385</v>
      </c>
      <c r="F19" s="38" t="n">
        <f aca="false">B19*1000/D19</f>
        <v>183.783783783784</v>
      </c>
      <c r="G19" s="40" t="n">
        <f aca="false">SUM(G13:G18)</f>
        <v>1</v>
      </c>
      <c r="H19" s="41"/>
    </row>
    <row r="21" customFormat="false" ht="15" hidden="false" customHeight="true" outlineLevel="0" collapsed="false">
      <c r="A21" s="26" t="s">
        <v>97</v>
      </c>
      <c r="B21" s="26"/>
      <c r="C21" s="26"/>
      <c r="D21" s="26"/>
      <c r="E21" s="26"/>
      <c r="F21" s="26"/>
      <c r="G21" s="26"/>
      <c r="H21" s="26"/>
    </row>
    <row r="22" customFormat="false" ht="27.75" hidden="false" customHeight="true" outlineLevel="0" collapsed="false">
      <c r="A22" s="16" t="s">
        <v>98</v>
      </c>
      <c r="B22" s="16"/>
      <c r="C22" s="16"/>
      <c r="D22" s="16"/>
      <c r="E22" s="16"/>
      <c r="F22" s="16"/>
      <c r="G22" s="16"/>
      <c r="H22" s="16"/>
    </row>
    <row r="23" customFormat="false" ht="27.75" hidden="false" customHeight="true" outlineLevel="0" collapsed="false">
      <c r="A23" s="16" t="s">
        <v>99</v>
      </c>
      <c r="B23" s="16"/>
      <c r="C23" s="16"/>
      <c r="D23" s="16"/>
      <c r="E23" s="16"/>
      <c r="F23" s="16"/>
      <c r="G23" s="16"/>
      <c r="H23" s="16"/>
    </row>
    <row r="24" customFormat="false" ht="27.75" hidden="false" customHeight="true" outlineLevel="0" collapsed="false">
      <c r="A24" s="16" t="s">
        <v>100</v>
      </c>
      <c r="B24" s="16"/>
      <c r="C24" s="16"/>
      <c r="D24" s="16"/>
      <c r="E24" s="16"/>
      <c r="F24" s="16"/>
      <c r="G24" s="16"/>
      <c r="H24" s="16"/>
    </row>
    <row r="25" customFormat="false" ht="27.75" hidden="false" customHeight="true" outlineLevel="0" collapsed="false">
      <c r="A25" s="16" t="s">
        <v>101</v>
      </c>
      <c r="B25" s="16"/>
      <c r="C25" s="16"/>
      <c r="D25" s="16"/>
      <c r="E25" s="16"/>
      <c r="F25" s="16"/>
      <c r="G25" s="16"/>
      <c r="H25" s="16"/>
    </row>
  </sheetData>
  <mergeCells count="9">
    <mergeCell ref="A1:H1"/>
    <mergeCell ref="A2:H2"/>
    <mergeCell ref="A4:H4"/>
    <mergeCell ref="A11:H11"/>
    <mergeCell ref="A21:H21"/>
    <mergeCell ref="A22:H22"/>
    <mergeCell ref="A23:H23"/>
    <mergeCell ref="A24:H24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22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2" t="s">
        <v>102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103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26" t="s">
        <v>104</v>
      </c>
      <c r="B4" s="26"/>
      <c r="C4" s="26"/>
      <c r="D4" s="26"/>
      <c r="E4" s="26"/>
      <c r="F4" s="26"/>
      <c r="G4" s="26"/>
      <c r="H4" s="26"/>
    </row>
    <row r="5" customFormat="false" ht="15" hidden="false" customHeight="true" outlineLevel="0" collapsed="false">
      <c r="A5" s="1" t="s">
        <v>105</v>
      </c>
      <c r="B5" s="42" t="n">
        <v>2.5</v>
      </c>
    </row>
    <row r="6" customFormat="false" ht="15" hidden="false" customHeight="true" outlineLevel="0" collapsed="false">
      <c r="A6" s="1" t="s">
        <v>106</v>
      </c>
      <c r="B6" s="43" t="n">
        <v>0.5</v>
      </c>
    </row>
    <row r="7" customFormat="false" ht="15" hidden="false" customHeight="true" outlineLevel="0" collapsed="false">
      <c r="A7" s="1" t="s">
        <v>107</v>
      </c>
      <c r="B7" s="44" t="n">
        <v>58.8</v>
      </c>
    </row>
    <row r="9" customFormat="false" ht="21.75" hidden="false" customHeight="true" outlineLevel="0" collapsed="false">
      <c r="A9" s="4" t="s">
        <v>108</v>
      </c>
      <c r="B9" s="4" t="s">
        <v>109</v>
      </c>
      <c r="C9" s="4" t="s">
        <v>110</v>
      </c>
      <c r="D9" s="4" t="s">
        <v>111</v>
      </c>
      <c r="E9" s="4" t="s">
        <v>112</v>
      </c>
    </row>
    <row r="10" customFormat="false" ht="15" hidden="false" customHeight="true" outlineLevel="0" collapsed="false">
      <c r="A10" s="27" t="s">
        <v>113</v>
      </c>
      <c r="B10" s="28" t="n">
        <v>1.9</v>
      </c>
      <c r="C10" s="7" t="n">
        <f aca="false">B7-B10</f>
        <v>56.9</v>
      </c>
      <c r="D10" s="45" t="n">
        <f aca="false">C10/B10</f>
        <v>29.9473684210526</v>
      </c>
      <c r="E10" s="46" t="s">
        <v>114</v>
      </c>
    </row>
    <row r="11" customFormat="false" ht="15" hidden="false" customHeight="true" outlineLevel="0" collapsed="false">
      <c r="A11" s="27" t="s">
        <v>115</v>
      </c>
      <c r="B11" s="28" t="n">
        <v>2.1</v>
      </c>
      <c r="C11" s="7" t="n">
        <f aca="false">C10-B11</f>
        <v>54.8</v>
      </c>
      <c r="D11" s="45" t="n">
        <f aca="false">C11/B11</f>
        <v>26.0952380952381</v>
      </c>
      <c r="E11" s="46" t="s">
        <v>114</v>
      </c>
    </row>
    <row r="12" customFormat="false" ht="15" hidden="false" customHeight="true" outlineLevel="0" collapsed="false">
      <c r="A12" s="27" t="s">
        <v>116</v>
      </c>
      <c r="B12" s="28" t="n">
        <v>2.3</v>
      </c>
      <c r="C12" s="7" t="n">
        <f aca="false">C11-B12</f>
        <v>52.5</v>
      </c>
      <c r="D12" s="45" t="n">
        <f aca="false">C12/B12</f>
        <v>22.8260869565217</v>
      </c>
      <c r="E12" s="46" t="s">
        <v>114</v>
      </c>
    </row>
    <row r="13" customFormat="false" ht="15" hidden="false" customHeight="true" outlineLevel="0" collapsed="false">
      <c r="A13" s="27" t="s">
        <v>39</v>
      </c>
      <c r="B13" s="28" t="n">
        <v>2.4</v>
      </c>
      <c r="C13" s="7" t="n">
        <f aca="false">C12-B13</f>
        <v>50.1</v>
      </c>
      <c r="D13" s="45" t="n">
        <f aca="false">C13/B13</f>
        <v>20.875</v>
      </c>
      <c r="E13" s="46" t="s">
        <v>117</v>
      </c>
    </row>
    <row r="14" customFormat="false" ht="15" hidden="false" customHeight="true" outlineLevel="0" collapsed="false">
      <c r="A14" s="27" t="s">
        <v>40</v>
      </c>
      <c r="B14" s="28" t="n">
        <v>2.5</v>
      </c>
      <c r="C14" s="7" t="n">
        <f aca="false">C13-B14</f>
        <v>47.6</v>
      </c>
      <c r="D14" s="45" t="n">
        <f aca="false">C14/B14</f>
        <v>19.04</v>
      </c>
      <c r="E14" s="46" t="s">
        <v>117</v>
      </c>
    </row>
    <row r="15" customFormat="false" ht="15" hidden="false" customHeight="true" outlineLevel="0" collapsed="false">
      <c r="A15" s="27" t="s">
        <v>41</v>
      </c>
      <c r="B15" s="28" t="n">
        <v>2.6</v>
      </c>
      <c r="C15" s="7" t="n">
        <f aca="false">C14-B15</f>
        <v>45</v>
      </c>
      <c r="D15" s="45" t="n">
        <f aca="false">C15/B15</f>
        <v>17.3076923076923</v>
      </c>
      <c r="E15" s="46" t="s">
        <v>117</v>
      </c>
    </row>
    <row r="16" customFormat="false" ht="15" hidden="false" customHeight="true" outlineLevel="0" collapsed="false">
      <c r="A16" s="27" t="s">
        <v>118</v>
      </c>
      <c r="B16" s="29" t="n">
        <f aca="false">B15*(1+$B$6/100)</f>
        <v>2.613</v>
      </c>
      <c r="C16" s="7" t="n">
        <f aca="false">C15-B16</f>
        <v>42.387</v>
      </c>
      <c r="D16" s="45" t="n">
        <f aca="false">IF(B16&gt;0,C16/B16,0)</f>
        <v>16.2215843857635</v>
      </c>
      <c r="E16" s="47" t="s">
        <v>119</v>
      </c>
    </row>
    <row r="17" customFormat="false" ht="15" hidden="false" customHeight="true" outlineLevel="0" collapsed="false">
      <c r="A17" s="27" t="s">
        <v>120</v>
      </c>
      <c r="B17" s="29" t="n">
        <f aca="false">B16*(1+$B$6/100)</f>
        <v>2.626065</v>
      </c>
      <c r="C17" s="7" t="n">
        <f aca="false">C16-B17</f>
        <v>39.760935</v>
      </c>
      <c r="D17" s="45" t="n">
        <f aca="false">IF(B17&gt;0,C17/B17,0)</f>
        <v>15.1408799858343</v>
      </c>
      <c r="E17" s="47" t="s">
        <v>119</v>
      </c>
    </row>
    <row r="18" customFormat="false" ht="15" hidden="false" customHeight="true" outlineLevel="0" collapsed="false">
      <c r="A18" s="27" t="s">
        <v>121</v>
      </c>
      <c r="B18" s="29" t="n">
        <f aca="false">B17*(1+$B$6/100)</f>
        <v>2.639195325</v>
      </c>
      <c r="C18" s="7" t="n">
        <f aca="false">C17-B18</f>
        <v>37.121739675</v>
      </c>
      <c r="D18" s="45" t="n">
        <f aca="false">IF(B18&gt;0,C18/B18,0)</f>
        <v>14.0655522247108</v>
      </c>
      <c r="E18" s="47" t="s">
        <v>119</v>
      </c>
    </row>
    <row r="19" customFormat="false" ht="15" hidden="false" customHeight="true" outlineLevel="0" collapsed="false">
      <c r="A19" s="27" t="s">
        <v>122</v>
      </c>
      <c r="B19" s="29" t="n">
        <f aca="false">B18*(1+$B$6/100)</f>
        <v>2.652391301625</v>
      </c>
      <c r="C19" s="7" t="n">
        <f aca="false">C18-B19</f>
        <v>34.469348373375</v>
      </c>
      <c r="D19" s="45" t="n">
        <f aca="false">IF(B19&gt;0,C19/B19,0)</f>
        <v>12.995574352946</v>
      </c>
      <c r="E19" s="47" t="s">
        <v>123</v>
      </c>
    </row>
    <row r="20" customFormat="false" ht="15" hidden="false" customHeight="true" outlineLevel="0" collapsed="false">
      <c r="A20" s="27" t="s">
        <v>124</v>
      </c>
      <c r="B20" s="29" t="n">
        <f aca="false">B19*(1+$B$6/100)</f>
        <v>2.66565325813312</v>
      </c>
      <c r="C20" s="7" t="n">
        <f aca="false">C19-B20</f>
        <v>31.8036951152419</v>
      </c>
      <c r="D20" s="45" t="n">
        <f aca="false">IF(B20&gt;0,C20/B20,0)</f>
        <v>11.9309197541752</v>
      </c>
      <c r="E20" s="47" t="s">
        <v>123</v>
      </c>
    </row>
    <row r="21" customFormat="false" ht="15" hidden="false" customHeight="true" outlineLevel="0" collapsed="false">
      <c r="A21" s="27" t="s">
        <v>125</v>
      </c>
      <c r="B21" s="29" t="n">
        <f aca="false">B20*(1+$B$6/100)</f>
        <v>2.67898152442379</v>
      </c>
      <c r="C21" s="7" t="n">
        <f aca="false">C20-B21</f>
        <v>29.1247135908181</v>
      </c>
      <c r="D21" s="45" t="n">
        <f aca="false">IF(B21&gt;0,C21/B21,0)</f>
        <v>10.8715619444529</v>
      </c>
      <c r="E21" s="47" t="s">
        <v>126</v>
      </c>
    </row>
    <row r="22" customFormat="false" ht="15" hidden="false" customHeight="true" outlineLevel="0" collapsed="false">
      <c r="A22" s="27" t="s">
        <v>127</v>
      </c>
      <c r="B22" s="29" t="n">
        <f aca="false">B21*(1+$B$6/100)</f>
        <v>2.69237643204591</v>
      </c>
      <c r="C22" s="7" t="n">
        <f aca="false">C21-B22</f>
        <v>26.4323371587722</v>
      </c>
      <c r="D22" s="45" t="n">
        <f aca="false">IF(B22&gt;0,C22/B22,0)</f>
        <v>9.81747457159493</v>
      </c>
      <c r="E22" s="47" t="s">
        <v>128</v>
      </c>
    </row>
    <row r="23" customFormat="false" ht="15" hidden="false" customHeight="true" outlineLevel="0" collapsed="false">
      <c r="A23" s="27" t="s">
        <v>129</v>
      </c>
      <c r="B23" s="29" t="n">
        <f aca="false">B22*(1+$B$6/100)</f>
        <v>2.70583831420614</v>
      </c>
      <c r="C23" s="7" t="n">
        <f aca="false">C22-B23</f>
        <v>23.726498844566</v>
      </c>
      <c r="D23" s="45" t="n">
        <f aca="false">IF(B23&gt;0,C23/B23,0)</f>
        <v>8.76863141452232</v>
      </c>
      <c r="E23" s="47" t="s">
        <v>128</v>
      </c>
    </row>
    <row r="24" customFormat="false" ht="15" hidden="false" customHeight="true" outlineLevel="0" collapsed="false">
      <c r="A24" s="27" t="s">
        <v>130</v>
      </c>
      <c r="B24" s="29" t="n">
        <f aca="false">B23*(1+$B$6/100)</f>
        <v>2.71936750577717</v>
      </c>
      <c r="C24" s="7" t="n">
        <f aca="false">C23-B24</f>
        <v>21.0071313387889</v>
      </c>
      <c r="D24" s="45" t="n">
        <f aca="false">IF(B24&gt;0,C24/B24,0)</f>
        <v>7.72500638260927</v>
      </c>
      <c r="E24" s="47" t="s">
        <v>131</v>
      </c>
    </row>
    <row r="25" customFormat="false" ht="15" hidden="false" customHeight="true" outlineLevel="0" collapsed="false">
      <c r="A25" s="27" t="s">
        <v>132</v>
      </c>
      <c r="B25" s="29" t="n">
        <f aca="false">B24*(1+$B$6/100)</f>
        <v>2.73296434330605</v>
      </c>
      <c r="C25" s="7" t="n">
        <f aca="false">C24-B25</f>
        <v>18.2741669954828</v>
      </c>
      <c r="D25" s="45" t="n">
        <f aca="false">IF(B25&gt;0,C25/B25,0)</f>
        <v>6.6865735150341</v>
      </c>
      <c r="E25" s="47" t="s">
        <v>133</v>
      </c>
    </row>
    <row r="26" customFormat="false" ht="15" hidden="false" customHeight="true" outlineLevel="0" collapsed="false">
      <c r="A26" s="27" t="s">
        <v>134</v>
      </c>
      <c r="B26" s="29" t="n">
        <f aca="false">B25*(1+$B$6/100)</f>
        <v>2.74662916502258</v>
      </c>
      <c r="C26" s="7" t="n">
        <f aca="false">C25-B26</f>
        <v>15.5275378304602</v>
      </c>
      <c r="D26" s="45" t="n">
        <f aca="false">IF(B26&gt;0,C26/B26,0)</f>
        <v>5.65330698013344</v>
      </c>
      <c r="E26" s="47" t="s">
        <v>133</v>
      </c>
    </row>
    <row r="27" customFormat="false" ht="15" hidden="false" customHeight="true" outlineLevel="0" collapsed="false">
      <c r="A27" s="27" t="s">
        <v>135</v>
      </c>
      <c r="B27" s="29" t="n">
        <f aca="false">B26*(1+$B$6/100)</f>
        <v>2.7603623108477</v>
      </c>
      <c r="C27" s="7" t="n">
        <f aca="false">C26-B27</f>
        <v>12.7671755196125</v>
      </c>
      <c r="D27" s="45" t="n">
        <f aca="false">IF(B27&gt;0,C27/B27,0)</f>
        <v>4.62518107475964</v>
      </c>
      <c r="E27" s="47" t="s">
        <v>136</v>
      </c>
    </row>
  </sheetData>
  <mergeCells count="3">
    <mergeCell ref="A1:H1"/>
    <mergeCell ref="A2:H2"/>
    <mergeCell ref="A4:H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5"/>
  </cols>
  <sheetData>
    <row r="1" customFormat="false" ht="17.25" hidden="false" customHeight="true" outlineLevel="0" collapsed="false">
      <c r="A1" s="2" t="s">
        <v>137</v>
      </c>
      <c r="B1" s="2"/>
    </row>
    <row r="3" customFormat="false" ht="15" hidden="false" customHeight="true" outlineLevel="0" collapsed="false">
      <c r="A3" s="4" t="s">
        <v>138</v>
      </c>
      <c r="B3" s="4" t="s">
        <v>139</v>
      </c>
    </row>
    <row r="4" customFormat="false" ht="30" hidden="false" customHeight="true" outlineLevel="0" collapsed="false">
      <c r="A4" s="27" t="s">
        <v>140</v>
      </c>
      <c r="B4" s="48" t="s">
        <v>141</v>
      </c>
    </row>
    <row r="5" customFormat="false" ht="30" hidden="false" customHeight="true" outlineLevel="0" collapsed="false">
      <c r="A5" s="27" t="s">
        <v>142</v>
      </c>
      <c r="B5" s="48" t="s">
        <v>143</v>
      </c>
    </row>
    <row r="6" customFormat="false" ht="30" hidden="false" customHeight="true" outlineLevel="0" collapsed="false">
      <c r="A6" s="27" t="s">
        <v>144</v>
      </c>
      <c r="B6" s="48" t="s">
        <v>145</v>
      </c>
    </row>
    <row r="7" customFormat="false" ht="30" hidden="false" customHeight="true" outlineLevel="0" collapsed="false">
      <c r="A7" s="27" t="s">
        <v>146</v>
      </c>
      <c r="B7" s="48" t="s">
        <v>147</v>
      </c>
    </row>
    <row r="8" customFormat="false" ht="30" hidden="false" customHeight="true" outlineLevel="0" collapsed="false">
      <c r="A8" s="27" t="s">
        <v>148</v>
      </c>
      <c r="B8" s="48" t="s">
        <v>149</v>
      </c>
    </row>
    <row r="9" customFormat="false" ht="30" hidden="false" customHeight="true" outlineLevel="0" collapsed="false">
      <c r="A9" s="27" t="s">
        <v>150</v>
      </c>
      <c r="B9" s="48" t="s">
        <v>151</v>
      </c>
    </row>
    <row r="10" customFormat="false" ht="30" hidden="false" customHeight="true" outlineLevel="0" collapsed="false">
      <c r="A10" s="27" t="s">
        <v>152</v>
      </c>
      <c r="B10" s="48" t="s">
        <v>153</v>
      </c>
    </row>
    <row r="11" customFormat="false" ht="30" hidden="false" customHeight="true" outlineLevel="0" collapsed="false">
      <c r="A11" s="27" t="s">
        <v>154</v>
      </c>
      <c r="B11" s="48" t="s">
        <v>155</v>
      </c>
    </row>
    <row r="12" customFormat="false" ht="30" hidden="false" customHeight="true" outlineLevel="0" collapsed="false">
      <c r="A12" s="27" t="s">
        <v>156</v>
      </c>
      <c r="B12" s="48" t="s">
        <v>157</v>
      </c>
    </row>
    <row r="13" customFormat="false" ht="30" hidden="false" customHeight="true" outlineLevel="0" collapsed="false">
      <c r="A13" s="27" t="s">
        <v>158</v>
      </c>
      <c r="B13" s="48" t="s">
        <v>159</v>
      </c>
    </row>
    <row r="14" customFormat="false" ht="30" hidden="false" customHeight="true" outlineLevel="0" collapsed="false">
      <c r="A14" s="27" t="s">
        <v>160</v>
      </c>
      <c r="B14" s="48" t="s">
        <v>161</v>
      </c>
    </row>
    <row r="15" customFormat="false" ht="30" hidden="false" customHeight="true" outlineLevel="0" collapsed="false">
      <c r="A15" s="27" t="s">
        <v>20</v>
      </c>
      <c r="B15" s="48" t="s">
        <v>162</v>
      </c>
    </row>
    <row r="16" customFormat="false" ht="30" hidden="false" customHeight="true" outlineLevel="0" collapsed="false">
      <c r="A16" s="27" t="s">
        <v>163</v>
      </c>
      <c r="B16" s="48" t="s">
        <v>164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2026-04-21T01:02:01Z</dcterms:created>
  <dc:creator>openpyxl</dc:creator>
  <dc:description/>
  <dc:language>en-US</dc:language>
  <cp:lastModifiedBy/>
  <dcterms:modified xsi:type="dcterms:W3CDTF">2026-04-21T01:04:32Z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